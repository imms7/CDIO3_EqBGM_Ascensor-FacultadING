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 tabRatio="500"/>
  </bookViews>
  <sheets>
    <sheet name="Componentes y Costos" sheetId="1" r:id="rId1"/>
    <sheet name="Comparativo LANCEA vs Ascensor" sheetId="2" r:id="rId2"/>
    <sheet name="Referencias y GitHu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<sst xmlns="http://schemas.openxmlformats.org/spreadsheetml/2006/main" count="154" uniqueCount="116">
  <si>
    <t>PROTOCOLO DE AUDITORÍA DE COSTOS — PROYECTO ASCENSOR FACULTAD ING</t>
  </si>
  <si>
    <t>TABLA DE COMPONENTES — VALORES REALES COLOMBIA 2026</t>
  </si>
  <si>
    <t>Ítem</t>
  </si>
  <si>
    <t>Componente</t>
  </si>
  <si>
    <t>Cantidad</t>
  </si>
  <si>
    <t>Proveedor / Fuente</t>
  </si>
  <si>
    <t>Costo Unitario (COP)</t>
  </si>
  <si>
    <t>Costo Total (COP)</t>
  </si>
  <si>
    <t>Estado</t>
  </si>
  <si>
    <t xml:space="preserve">Arduino uno </t>
  </si>
  <si>
    <t>Luloa</t>
  </si>
  <si>
    <t>✅</t>
  </si>
  <si>
    <t>Sensores fin de carrera (x3)</t>
  </si>
  <si>
    <t>Motor SG 90</t>
  </si>
  <si>
    <t>Estructura (PLA/PETG) - 3D</t>
  </si>
  <si>
    <t>Impresión 3D universitaria</t>
  </si>
  <si>
    <t>Cables y conectores</t>
  </si>
  <si>
    <t>PCB / Protoboard</t>
  </si>
  <si>
    <t>TOTAL HARDWARE POR UNIDAD</t>
  </si>
  <si>
    <t>RESUMEN POR CATEGORÍA</t>
  </si>
  <si>
    <t>Categoría</t>
  </si>
  <si>
    <t>Componentes incluidos</t>
  </si>
  <si>
    <t>Costo (COP)</t>
  </si>
  <si>
    <t>Electrónica</t>
  </si>
  <si>
    <t>Estructura</t>
  </si>
  <si>
    <t>Otros/Insumos</t>
  </si>
  <si>
    <t>TOTAL</t>
  </si>
  <si>
    <t>Cálculo de precio de venta</t>
  </si>
  <si>
    <t>Diseñar, ensamblar y programar toma tiempo. Si asumimos que dedican unas 15 horas de trabajo en total por unidad entre los 3, y valoran su hora técnica a un precio de $16,000 COP.</t>
  </si>
  <si>
    <t>COMPARATIVO DE COSTOS: PROYECTO LANCEA vs ASCENSOR FACULTAD ING</t>
  </si>
  <si>
    <t>Análisis comparativo de presupuesto y componentes · 2026</t>
  </si>
  <si>
    <t>TABLA COMPARATIVA DE COMPONENTES</t>
  </si>
  <si>
    <t>#</t>
  </si>
  <si>
    <t>LANCEA (COP)</t>
  </si>
  <si>
    <t>Ascensor (COP)</t>
  </si>
  <si>
    <t>Diferencia (COP)</t>
  </si>
  <si>
    <t>% Diferencia</t>
  </si>
  <si>
    <t>Microcontrolador (ESP32)</t>
  </si>
  <si>
    <t>Sensores / Detección</t>
  </si>
  <si>
    <t>Actuadores / Motor</t>
  </si>
  <si>
    <t>Pantalla / Interfaz</t>
  </si>
  <si>
    <t>Batería / Fuente de poder</t>
  </si>
  <si>
    <t>Regulación y protección</t>
  </si>
  <si>
    <t>Estructura / Carcasa</t>
  </si>
  <si>
    <t>Cables, conectores, misc.</t>
  </si>
  <si>
    <t>LEDs, buzzer, indicadores</t>
  </si>
  <si>
    <t>Módulo de carga</t>
  </si>
  <si>
    <t>Servidor / Software</t>
  </si>
  <si>
    <t>Dominio</t>
  </si>
  <si>
    <t>CONTEXTO DE LA COMPARACIÓN</t>
  </si>
  <si>
    <t>Proyecto LANCEA</t>
  </si>
  <si>
    <t>Dispositivo deportivo wearable (lanza/velocidad). Mayor costo por pantalla, módulo LiPo y servidor.</t>
  </si>
  <si>
    <t>~$375,000 - $885,000 COP</t>
  </si>
  <si>
    <t>Proyecto Ascensor</t>
  </si>
  <si>
    <t>Sistema mecatrónico de elevación en escala. Optimizado para bajo costo con componentes esenciales.</t>
  </si>
  <si>
    <t>~$108,000 COP</t>
  </si>
  <si>
    <t>Diferencia</t>
  </si>
  <si>
    <t>El Ascensor representa aprox. el 12-29% del costo de LANCEA por su enfoque de bajo costo académico.</t>
  </si>
  <si>
    <t>Ahorro ~$267k-$777k</t>
  </si>
  <si>
    <t>REFERENCIAS DE ARCHIVOS — PROYECTO ASCENSOR FACULTAD ING</t>
  </si>
  <si>
    <t>Repositorio GitHub · Estructura de archivos · Trazabilidad de evidencia</t>
  </si>
  <si>
    <t>ARCHIVOS DEL REPOSITORIO GITHUB</t>
  </si>
  <si>
    <t>Archivo</t>
  </si>
  <si>
    <t>Descripción</t>
  </si>
  <si>
    <t>Ubicación en GitHub</t>
  </si>
  <si>
    <t>esquematico_ascensor.kicad_sch</t>
  </si>
  <si>
    <t>Esquemático electrónico del sistema</t>
  </si>
  <si>
    <t>/5_Diseño_Detallado/</t>
  </si>
  <si>
    <t>diseno_mecanico_ascensor.stl</t>
  </si>
  <si>
    <t>Modelo 3D de la estructura del ascensor</t>
  </si>
  <si>
    <t>Dashboard_MAHD.xlsx</t>
  </si>
  <si>
    <t>Dashboard de seguimiento MAHD</t>
  </si>
  <si>
    <t>/ (raíz del repositorio)</t>
  </si>
  <si>
    <t>Protocolos_de_prueba.xlsx</t>
  </si>
  <si>
    <t>Protocolos de validación y pruebas</t>
  </si>
  <si>
    <t>/4_Calidad_y_Pruebas/</t>
  </si>
  <si>
    <t>protocolo_costos.md</t>
  </si>
  <si>
    <t>Documento de auditoría de costos</t>
  </si>
  <si>
    <t>costos_ascensor.xlsx</t>
  </si>
  <si>
    <t>Este archivo — control formal de costos</t>
  </si>
  <si>
    <t>TRAZABILIDAD DE EVIDENCIA (PARA AUDITORÍA)</t>
  </si>
  <si>
    <t>Evidencia requerida</t>
  </si>
  <si>
    <t>Ubicación en repo</t>
  </si>
  <si>
    <t>ESP32</t>
  </si>
  <si>
    <t>Factura / Link de compra</t>
  </si>
  <si>
    <t>/docs/costos/</t>
  </si>
  <si>
    <t>⏳</t>
  </si>
  <si>
    <t>Motor DC</t>
  </si>
  <si>
    <t>Foto + comprobante pago</t>
  </si>
  <si>
    <t>/media/</t>
  </si>
  <si>
    <t>Driver L298N</t>
  </si>
  <si>
    <t>Link proveedor</t>
  </si>
  <si>
    <t>/docs/referencias/</t>
  </si>
  <si>
    <t>Sensores</t>
  </si>
  <si>
    <t>Registro fotográfico</t>
  </si>
  <si>
    <t>Estructura 3D</t>
  </si>
  <si>
    <t>Archivo STL + foto impresión</t>
  </si>
  <si>
    <t>Cables/conectores</t>
  </si>
  <si>
    <t>Registro compra / foto</t>
  </si>
  <si>
    <t>Batería/Fuente</t>
  </si>
  <si>
    <t>Factura o link de producto</t>
  </si>
  <si>
    <t>PCB/Protoboard</t>
  </si>
  <si>
    <t>Foto del circuito armado</t>
  </si>
  <si>
    <t>LEYENDA DE COLORES Y CONVENCIONES</t>
  </si>
  <si>
    <t>🔵 Texto azul</t>
  </si>
  <si>
    <t>Valores hardcoded / Inputs del usuario (modificables)</t>
  </si>
  <si>
    <t>⚫ Texto negro</t>
  </si>
  <si>
    <t>Fórmulas y cálculos automáticos de Excel</t>
  </si>
  <si>
    <t>🟢 Texto verde</t>
  </si>
  <si>
    <t>Fórmulas que referencian otras hojas del libro</t>
  </si>
  <si>
    <t>✅ Estado</t>
  </si>
  <si>
    <t>Componente adquirido / Evidencia lista</t>
  </si>
  <si>
    <t>⏳ Estado</t>
  </si>
  <si>
    <t>Pendiente de evidencia / adquisición</t>
  </si>
  <si>
    <t>🟡 Riesgo control.</t>
  </si>
  <si>
    <t>Variación presupuestal ≤ 10% según criterios MAHD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</si>
</sst>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;\(#,##0\);\-"/>
    <numFmt numFmtId="179" formatCode="0.0%"/>
  </numFmts>
  <fonts count="33">
    <font>
      <sz val="11"/>
      <color theme="1"/>
      <name val="Calibri"/>
      <charset val="1"/>
    </font>
    <font>
      <b/>
      <sz val="13"/>
      <color rgb="FFFFFFFF"/>
      <name val="Arial"/>
      <charset val="1"/>
    </font>
    <font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375623"/>
      <name val="Arial"/>
      <charset val="1"/>
    </font>
    <font>
      <b/>
      <sz val="11"/>
      <color rgb="FFFFFFFF"/>
      <name val="Arial"/>
      <charset val="1"/>
    </font>
    <font>
      <b/>
      <sz val="10"/>
      <color rgb="FF0000FF"/>
      <name val="Arial"/>
      <charset val="1"/>
    </font>
    <font>
      <b/>
      <sz val="14"/>
      <color rgb="FFFFFFFF"/>
      <name val="Arial"/>
      <charset val="1"/>
    </font>
    <font>
      <sz val="11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D6E4F0"/>
        <bgColor rgb="FFE2EFDA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6E4F0"/>
      </patternFill>
    </fill>
    <fill>
      <patternFill patternType="solid">
        <fgColor rgb="FFC00000"/>
        <bgColor rgb="FF800000"/>
      </patternFill>
    </fill>
    <fill>
      <patternFill patternType="solid">
        <fgColor theme="4" tint="0.399975585192419"/>
        <bgColor rgb="FF003366"/>
      </patternFill>
    </fill>
    <fill>
      <patternFill patternType="solid">
        <fgColor theme="4" tint="0.399975585192419"/>
        <bgColor rgb="FF0066CC"/>
      </patternFill>
    </fill>
    <fill>
      <patternFill patternType="solid">
        <fgColor theme="9"/>
        <bgColor rgb="FF8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2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23" fillId="14" borderId="9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25" fillId="15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6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0" fillId="7" borderId="3" xfId="0" applyFill="1" applyBorder="1"/>
    <xf numFmtId="0" fontId="6" fillId="7" borderId="3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3" fontId="7" fillId="4" borderId="3" xfId="0" applyNumberFormat="1" applyFont="1" applyFill="1" applyBorder="1" applyAlignment="1">
      <alignment horizontal="center" vertical="center" wrapText="1"/>
    </xf>
    <xf numFmtId="178" fontId="8" fillId="4" borderId="3" xfId="0" applyNumberFormat="1" applyFont="1" applyFill="1" applyBorder="1" applyAlignment="1">
      <alignment horizontal="center" vertical="center" wrapText="1"/>
    </xf>
    <xf numFmtId="179" fontId="8" fillId="4" borderId="3" xfId="0" applyNumberFormat="1" applyFont="1" applyFill="1" applyBorder="1" applyAlignment="1">
      <alignment horizontal="center" vertical="center" wrapText="1"/>
    </xf>
    <xf numFmtId="3" fontId="7" fillId="5" borderId="3" xfId="0" applyNumberFormat="1" applyFont="1" applyFill="1" applyBorder="1" applyAlignment="1">
      <alignment horizontal="center" vertical="center" wrapText="1"/>
    </xf>
    <xf numFmtId="178" fontId="8" fillId="5" borderId="3" xfId="0" applyNumberFormat="1" applyFont="1" applyFill="1" applyBorder="1" applyAlignment="1">
      <alignment horizontal="center" vertical="center" wrapText="1"/>
    </xf>
    <xf numFmtId="179" fontId="8" fillId="5" borderId="3" xfId="0" applyNumberFormat="1" applyFont="1" applyFill="1" applyBorder="1" applyAlignment="1">
      <alignment horizontal="center" vertical="center" wrapText="1"/>
    </xf>
    <xf numFmtId="0" fontId="0" fillId="8" borderId="2" xfId="0" applyFill="1" applyBorder="1"/>
    <xf numFmtId="0" fontId="9" fillId="8" borderId="2" xfId="0" applyFont="1" applyFill="1" applyBorder="1" applyAlignment="1">
      <alignment horizontal="center" vertical="center" wrapText="1"/>
    </xf>
    <xf numFmtId="3" fontId="9" fillId="8" borderId="2" xfId="0" applyNumberFormat="1" applyFont="1" applyFill="1" applyBorder="1" applyAlignment="1">
      <alignment horizontal="center" vertical="center" wrapText="1"/>
    </xf>
    <xf numFmtId="178" fontId="9" fillId="8" borderId="2" xfId="0" applyNumberFormat="1" applyFont="1" applyFill="1" applyBorder="1" applyAlignment="1">
      <alignment horizontal="center" vertical="center" wrapText="1"/>
    </xf>
    <xf numFmtId="179" fontId="9" fillId="8" borderId="2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3" fontId="8" fillId="4" borderId="3" xfId="0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3" fontId="8" fillId="5" borderId="3" xfId="0" applyNumberFormat="1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0" fillId="11" borderId="2" xfId="0" applyFill="1" applyBorder="1"/>
    <xf numFmtId="3" fontId="9" fillId="11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595959"/>
      <rgbColor rgb="00AAAAAA"/>
      <rgbColor rgb="00003366"/>
      <rgbColor rgb="00339966"/>
      <rgbColor rgb="00003300"/>
      <rgbColor rgb="00333300"/>
      <rgbColor rgb="00993300"/>
      <rgbColor rgb="00993366"/>
      <rgbColor rgb="001F4E7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topLeftCell="A9" workbookViewId="0">
      <selection activeCell="A22" sqref="A22:D24"/>
    </sheetView>
  </sheetViews>
  <sheetFormatPr defaultColWidth="8.71296296296296" defaultRowHeight="14.4" outlineLevelCol="6"/>
  <cols>
    <col min="1" max="1" width="12.8518518518519" customWidth="1"/>
    <col min="2" max="2" width="32" customWidth="1"/>
    <col min="3" max="3" width="12" customWidth="1"/>
    <col min="4" max="4" width="28" customWidth="1"/>
    <col min="5" max="5" width="22" customWidth="1"/>
    <col min="6" max="6" width="20" customWidth="1"/>
    <col min="7" max="7" width="12" customWidth="1"/>
  </cols>
  <sheetData>
    <row r="1" ht="30" customHeight="1" spans="1:7">
      <c r="A1" s="31" t="s">
        <v>0</v>
      </c>
      <c r="B1" s="31"/>
      <c r="C1" s="31"/>
      <c r="D1" s="31"/>
      <c r="E1" s="31"/>
      <c r="F1" s="31"/>
      <c r="G1" s="31"/>
    </row>
    <row r="2" ht="18" customHeight="1"/>
    <row r="3" ht="6" customHeight="1" spans="1:7">
      <c r="A3" s="32"/>
      <c r="B3" s="32"/>
      <c r="C3" s="32"/>
      <c r="D3" s="32"/>
      <c r="E3" s="32"/>
      <c r="F3" s="32"/>
      <c r="G3" s="32"/>
    </row>
    <row r="4" ht="21.75" customHeight="1" spans="1:7">
      <c r="A4" s="33" t="s">
        <v>1</v>
      </c>
      <c r="B4" s="33"/>
      <c r="C4" s="33"/>
      <c r="D4" s="33"/>
      <c r="E4" s="33"/>
      <c r="F4" s="33"/>
      <c r="G4" s="33"/>
    </row>
    <row r="5" ht="19.5" customHeight="1" spans="1:7">
      <c r="A5" s="34" t="s">
        <v>2</v>
      </c>
      <c r="B5" s="34" t="s">
        <v>3</v>
      </c>
      <c r="C5" s="34" t="s">
        <v>4</v>
      </c>
      <c r="D5" s="34" t="s">
        <v>5</v>
      </c>
      <c r="E5" s="34" t="s">
        <v>6</v>
      </c>
      <c r="F5" s="34" t="s">
        <v>7</v>
      </c>
      <c r="G5" s="34" t="s">
        <v>8</v>
      </c>
    </row>
    <row r="6" ht="18" customHeight="1" spans="1:7">
      <c r="A6" s="5">
        <v>1</v>
      </c>
      <c r="B6" s="6" t="s">
        <v>9</v>
      </c>
      <c r="C6" s="5">
        <v>1</v>
      </c>
      <c r="D6" s="6" t="s">
        <v>10</v>
      </c>
      <c r="E6" s="16">
        <v>28000</v>
      </c>
      <c r="F6" s="35">
        <f>E6*C6</f>
        <v>28000</v>
      </c>
      <c r="G6" s="36" t="s">
        <v>11</v>
      </c>
    </row>
    <row r="7" ht="18" customHeight="1" spans="1:7">
      <c r="A7" s="7">
        <v>2</v>
      </c>
      <c r="B7" s="8" t="s">
        <v>12</v>
      </c>
      <c r="C7" s="7">
        <v>3</v>
      </c>
      <c r="D7" s="8" t="s">
        <v>10</v>
      </c>
      <c r="E7" s="19">
        <v>5000</v>
      </c>
      <c r="F7" s="37">
        <f>E7*C7</f>
        <v>15000</v>
      </c>
      <c r="G7" s="38" t="s">
        <v>11</v>
      </c>
    </row>
    <row r="8" ht="18" customHeight="1" spans="1:7">
      <c r="A8" s="5">
        <v>3</v>
      </c>
      <c r="B8" s="6" t="s">
        <v>13</v>
      </c>
      <c r="C8" s="5">
        <v>1</v>
      </c>
      <c r="D8" s="6" t="s">
        <v>10</v>
      </c>
      <c r="E8" s="16">
        <v>6000</v>
      </c>
      <c r="F8" s="35">
        <f>E8*C8</f>
        <v>6000</v>
      </c>
      <c r="G8" s="36" t="s">
        <v>11</v>
      </c>
    </row>
    <row r="9" ht="18" customHeight="1" spans="1:7">
      <c r="A9" s="7">
        <v>4</v>
      </c>
      <c r="B9" s="8" t="s">
        <v>14</v>
      </c>
      <c r="C9" s="7">
        <v>1</v>
      </c>
      <c r="D9" s="8" t="s">
        <v>15</v>
      </c>
      <c r="E9" s="19">
        <v>90000</v>
      </c>
      <c r="F9" s="37">
        <v>0</v>
      </c>
      <c r="G9" s="38" t="s">
        <v>11</v>
      </c>
    </row>
    <row r="10" ht="18" customHeight="1" spans="1:7">
      <c r="A10" s="5">
        <v>5</v>
      </c>
      <c r="B10" s="6" t="s">
        <v>16</v>
      </c>
      <c r="C10" s="5">
        <v>1</v>
      </c>
      <c r="D10" s="6" t="s">
        <v>10</v>
      </c>
      <c r="E10" s="16">
        <v>10000</v>
      </c>
      <c r="F10" s="35">
        <f>E10*C10</f>
        <v>10000</v>
      </c>
      <c r="G10" s="36" t="s">
        <v>11</v>
      </c>
    </row>
    <row r="11" ht="18" customHeight="1" spans="1:7">
      <c r="A11" s="7">
        <v>6</v>
      </c>
      <c r="B11" s="8" t="s">
        <v>17</v>
      </c>
      <c r="C11" s="7">
        <v>1</v>
      </c>
      <c r="D11" s="8" t="s">
        <v>10</v>
      </c>
      <c r="E11" s="19">
        <v>6000</v>
      </c>
      <c r="F11" s="37">
        <f>E11*C11</f>
        <v>6000</v>
      </c>
      <c r="G11" s="38" t="s">
        <v>11</v>
      </c>
    </row>
    <row r="12" ht="19.5" customHeight="1" spans="1:6">
      <c r="A12" s="39" t="s">
        <v>18</v>
      </c>
      <c r="B12" s="39"/>
      <c r="C12" s="39"/>
      <c r="D12" s="39"/>
      <c r="E12" s="40"/>
      <c r="F12" s="41">
        <f>SUM(F6:F11)</f>
        <v>65000</v>
      </c>
    </row>
    <row r="14" ht="21.75" customHeight="1" spans="1:7">
      <c r="A14" s="33" t="s">
        <v>19</v>
      </c>
      <c r="B14" s="33"/>
      <c r="C14" s="33"/>
      <c r="D14" s="33"/>
      <c r="E14" s="33"/>
      <c r="F14" s="33"/>
      <c r="G14" s="33"/>
    </row>
    <row r="15" ht="18" customHeight="1" spans="1:3">
      <c r="A15" s="34" t="s">
        <v>20</v>
      </c>
      <c r="B15" s="34" t="s">
        <v>21</v>
      </c>
      <c r="C15" s="34" t="s">
        <v>22</v>
      </c>
    </row>
    <row r="16" ht="26.25" customHeight="1" spans="1:3">
      <c r="A16" s="6" t="s">
        <v>23</v>
      </c>
      <c r="B16" s="6"/>
      <c r="C16" s="35">
        <f>F6+F7+F8+F11</f>
        <v>55000</v>
      </c>
    </row>
    <row r="17" ht="15.75" customHeight="1" spans="1:3">
      <c r="A17" s="6" t="s">
        <v>24</v>
      </c>
      <c r="B17" s="6"/>
      <c r="C17" s="35">
        <v>0</v>
      </c>
    </row>
    <row r="18" ht="15.75" customHeight="1" spans="1:3">
      <c r="A18" s="8" t="s">
        <v>25</v>
      </c>
      <c r="B18" s="8"/>
      <c r="C18" s="37">
        <f>F10</f>
        <v>10000</v>
      </c>
    </row>
    <row r="19" ht="19.5" customHeight="1" spans="1:3">
      <c r="A19" s="39" t="s">
        <v>26</v>
      </c>
      <c r="B19" s="39"/>
      <c r="C19" s="41">
        <f>SUM(C16:C18)</f>
        <v>65000</v>
      </c>
    </row>
    <row r="20" ht="15.15"/>
    <row r="21" ht="21.75" customHeight="1" spans="1:7">
      <c r="A21" s="33" t="s">
        <v>27</v>
      </c>
      <c r="B21" s="33"/>
      <c r="C21" s="33"/>
      <c r="D21" s="33"/>
      <c r="E21" s="33"/>
      <c r="F21" s="33"/>
      <c r="G21" s="33"/>
    </row>
    <row r="22" ht="18" customHeight="1" spans="1:4">
      <c r="A22" s="42" t="s">
        <v>28</v>
      </c>
      <c r="B22" s="42"/>
      <c r="C22" s="42"/>
      <c r="D22" s="42"/>
    </row>
    <row r="23" ht="15.75" customHeight="1" spans="1:4">
      <c r="A23" s="42"/>
      <c r="B23" s="42"/>
      <c r="C23" s="42"/>
      <c r="D23" s="42"/>
    </row>
    <row r="24" ht="15.75" customHeight="1" spans="1:4">
      <c r="A24" s="42"/>
      <c r="B24" s="42"/>
      <c r="C24" s="42"/>
      <c r="D24" s="42"/>
    </row>
    <row r="25" ht="15.75" customHeight="1"/>
    <row r="26" ht="19.5" customHeight="1"/>
    <row r="28" ht="39.75" customHeight="1"/>
  </sheetData>
  <mergeCells count="8">
    <mergeCell ref="A1:G1"/>
    <mergeCell ref="A3:G3"/>
    <mergeCell ref="A4:G4"/>
    <mergeCell ref="A12:D12"/>
    <mergeCell ref="A14:G14"/>
    <mergeCell ref="A19:B19"/>
    <mergeCell ref="A21:G21"/>
    <mergeCell ref="A22:D2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1" sqref="A1:F1"/>
    </sheetView>
  </sheetViews>
  <sheetFormatPr defaultColWidth="8.71296296296296" defaultRowHeight="14.4" outlineLevelCol="5"/>
  <cols>
    <col min="1" max="1" width="5" customWidth="1"/>
    <col min="2" max="2" width="30" customWidth="1"/>
    <col min="3" max="5" width="22" customWidth="1"/>
    <col min="6" max="6" width="18" customWidth="1"/>
  </cols>
  <sheetData>
    <row r="1" ht="30" customHeight="1" spans="1:6">
      <c r="A1" s="1" t="s">
        <v>29</v>
      </c>
      <c r="B1" s="1"/>
      <c r="C1" s="1"/>
      <c r="D1" s="1"/>
      <c r="E1" s="1"/>
      <c r="F1" s="1"/>
    </row>
    <row r="2" ht="18" customHeight="1" spans="1:6">
      <c r="A2" s="2" t="s">
        <v>30</v>
      </c>
      <c r="B2" s="2"/>
      <c r="C2" s="2"/>
      <c r="D2" s="2"/>
      <c r="E2" s="2"/>
      <c r="F2" s="2"/>
    </row>
    <row r="3" ht="15.15"/>
    <row r="4" ht="21.75" customHeight="1" spans="1:6">
      <c r="A4" s="3" t="s">
        <v>31</v>
      </c>
      <c r="B4" s="3"/>
      <c r="C4" s="3"/>
      <c r="D4" s="3"/>
      <c r="E4" s="3"/>
      <c r="F4" s="3"/>
    </row>
    <row r="5" ht="18" customHeight="1" spans="1:6">
      <c r="A5" s="4" t="s">
        <v>32</v>
      </c>
      <c r="B5" s="4" t="s">
        <v>20</v>
      </c>
      <c r="C5" s="4" t="s">
        <v>33</v>
      </c>
      <c r="D5" s="4" t="s">
        <v>34</v>
      </c>
      <c r="E5" s="4" t="s">
        <v>35</v>
      </c>
      <c r="F5" s="4" t="s">
        <v>36</v>
      </c>
    </row>
    <row r="6" ht="15.75" customHeight="1" spans="1:6">
      <c r="A6" s="5">
        <v>1</v>
      </c>
      <c r="B6" s="6" t="s">
        <v>37</v>
      </c>
      <c r="C6" s="16">
        <v>50000</v>
      </c>
      <c r="D6" s="16">
        <v>28000</v>
      </c>
      <c r="E6" s="17">
        <f t="shared" ref="E6:E19" si="0">D6-C6</f>
        <v>-22000</v>
      </c>
      <c r="F6" s="18">
        <f t="shared" ref="F6:F18" si="1">IF(C6&lt;&gt;0,(D6-C6)/C6,"N/A")</f>
        <v>-0.44</v>
      </c>
    </row>
    <row r="7" ht="15.75" customHeight="1" spans="1:6">
      <c r="A7" s="7">
        <v>2</v>
      </c>
      <c r="B7" s="8" t="s">
        <v>38</v>
      </c>
      <c r="C7" s="19">
        <v>35000</v>
      </c>
      <c r="D7" s="19">
        <v>15000</v>
      </c>
      <c r="E7" s="20">
        <f t="shared" si="0"/>
        <v>-20000</v>
      </c>
      <c r="F7" s="21">
        <f t="shared" si="1"/>
        <v>-0.571428571428571</v>
      </c>
    </row>
    <row r="8" ht="15.75" customHeight="1" spans="1:6">
      <c r="A8" s="5">
        <v>3</v>
      </c>
      <c r="B8" s="6" t="s">
        <v>39</v>
      </c>
      <c r="C8" s="16">
        <v>0</v>
      </c>
      <c r="D8" s="16">
        <v>17000</v>
      </c>
      <c r="E8" s="17">
        <f t="shared" si="0"/>
        <v>17000</v>
      </c>
      <c r="F8" s="18" t="str">
        <f t="shared" si="1"/>
        <v>N/A</v>
      </c>
    </row>
    <row r="9" ht="15.75" customHeight="1" spans="1:6">
      <c r="A9" s="7">
        <v>4</v>
      </c>
      <c r="B9" s="8" t="s">
        <v>40</v>
      </c>
      <c r="C9" s="19">
        <v>30000</v>
      </c>
      <c r="D9" s="19">
        <v>0</v>
      </c>
      <c r="E9" s="20">
        <f t="shared" si="0"/>
        <v>-30000</v>
      </c>
      <c r="F9" s="21">
        <f t="shared" si="1"/>
        <v>-1</v>
      </c>
    </row>
    <row r="10" ht="15.75" customHeight="1" spans="1:6">
      <c r="A10" s="5">
        <v>5</v>
      </c>
      <c r="B10" s="6" t="s">
        <v>41</v>
      </c>
      <c r="C10" s="16">
        <v>45000</v>
      </c>
      <c r="D10" s="16">
        <v>20000</v>
      </c>
      <c r="E10" s="17">
        <f t="shared" si="0"/>
        <v>-25000</v>
      </c>
      <c r="F10" s="18">
        <f t="shared" si="1"/>
        <v>-0.555555555555556</v>
      </c>
    </row>
    <row r="11" ht="15.75" customHeight="1" spans="1:6">
      <c r="A11" s="7">
        <v>6</v>
      </c>
      <c r="B11" s="8" t="s">
        <v>42</v>
      </c>
      <c r="C11" s="19">
        <v>20000</v>
      </c>
      <c r="D11" s="19">
        <v>0</v>
      </c>
      <c r="E11" s="20">
        <f t="shared" si="0"/>
        <v>-20000</v>
      </c>
      <c r="F11" s="21">
        <f t="shared" si="1"/>
        <v>-1</v>
      </c>
    </row>
    <row r="12" ht="15.75" customHeight="1" spans="1:6">
      <c r="A12" s="5">
        <v>7</v>
      </c>
      <c r="B12" s="6" t="s">
        <v>43</v>
      </c>
      <c r="C12" s="16">
        <v>50000</v>
      </c>
      <c r="D12" s="16">
        <v>10000</v>
      </c>
      <c r="E12" s="17">
        <f t="shared" si="0"/>
        <v>-40000</v>
      </c>
      <c r="F12" s="18">
        <f t="shared" si="1"/>
        <v>-0.8</v>
      </c>
    </row>
    <row r="13" ht="15.75" customHeight="1" spans="1:6">
      <c r="A13" s="7">
        <v>8</v>
      </c>
      <c r="B13" s="8" t="s">
        <v>44</v>
      </c>
      <c r="C13" s="19">
        <v>80000</v>
      </c>
      <c r="D13" s="19">
        <v>10000</v>
      </c>
      <c r="E13" s="20">
        <f t="shared" si="0"/>
        <v>-70000</v>
      </c>
      <c r="F13" s="21">
        <f t="shared" si="1"/>
        <v>-0.875</v>
      </c>
    </row>
    <row r="14" ht="15.75" customHeight="1" spans="1:6">
      <c r="A14" s="5">
        <v>9</v>
      </c>
      <c r="B14" s="6" t="s">
        <v>17</v>
      </c>
      <c r="C14" s="16">
        <v>0</v>
      </c>
      <c r="D14" s="16">
        <v>6000</v>
      </c>
      <c r="E14" s="17">
        <f t="shared" si="0"/>
        <v>6000</v>
      </c>
      <c r="F14" s="18" t="str">
        <f t="shared" si="1"/>
        <v>N/A</v>
      </c>
    </row>
    <row r="15" ht="15.75" customHeight="1" spans="1:6">
      <c r="A15" s="7">
        <v>10</v>
      </c>
      <c r="B15" s="8" t="s">
        <v>45</v>
      </c>
      <c r="C15" s="19">
        <v>15000</v>
      </c>
      <c r="D15" s="19">
        <v>0</v>
      </c>
      <c r="E15" s="20">
        <f t="shared" si="0"/>
        <v>-15000</v>
      </c>
      <c r="F15" s="21">
        <f t="shared" si="1"/>
        <v>-1</v>
      </c>
    </row>
    <row r="16" ht="15.75" customHeight="1" spans="1:6">
      <c r="A16" s="5">
        <v>11</v>
      </c>
      <c r="B16" s="6" t="s">
        <v>46</v>
      </c>
      <c r="C16" s="16">
        <v>12000</v>
      </c>
      <c r="D16" s="16">
        <v>0</v>
      </c>
      <c r="E16" s="17">
        <f t="shared" si="0"/>
        <v>-12000</v>
      </c>
      <c r="F16" s="18">
        <f t="shared" si="1"/>
        <v>-1</v>
      </c>
    </row>
    <row r="17" ht="15.75" customHeight="1" spans="1:6">
      <c r="A17" s="7">
        <v>12</v>
      </c>
      <c r="B17" s="8" t="s">
        <v>47</v>
      </c>
      <c r="C17" s="19">
        <v>80000</v>
      </c>
      <c r="D17" s="19">
        <v>0</v>
      </c>
      <c r="E17" s="20">
        <f t="shared" si="0"/>
        <v>-80000</v>
      </c>
      <c r="F17" s="21">
        <f t="shared" si="1"/>
        <v>-1</v>
      </c>
    </row>
    <row r="18" ht="15.75" customHeight="1" spans="1:6">
      <c r="A18" s="5">
        <v>13</v>
      </c>
      <c r="B18" s="6" t="s">
        <v>48</v>
      </c>
      <c r="C18" s="16">
        <v>30000</v>
      </c>
      <c r="D18" s="16">
        <v>0</v>
      </c>
      <c r="E18" s="17">
        <f t="shared" si="0"/>
        <v>-30000</v>
      </c>
      <c r="F18" s="18">
        <f t="shared" si="1"/>
        <v>-1</v>
      </c>
    </row>
    <row r="19" ht="21.75" customHeight="1" spans="1:6">
      <c r="A19" s="22"/>
      <c r="B19" s="23" t="s">
        <v>26</v>
      </c>
      <c r="C19" s="24">
        <f>SUM(C6:C18)</f>
        <v>447000</v>
      </c>
      <c r="D19" s="24">
        <f>SUM(D6:D18)</f>
        <v>106000</v>
      </c>
      <c r="E19" s="25">
        <f t="shared" si="0"/>
        <v>-341000</v>
      </c>
      <c r="F19" s="26">
        <f>IF(C19&lt;&gt;0,(D19-C19)/C19,0)</f>
        <v>-0.762863534675615</v>
      </c>
    </row>
    <row r="20" ht="15.15"/>
    <row r="21" ht="21.75" customHeight="1" spans="1:6">
      <c r="A21" s="3" t="s">
        <v>49</v>
      </c>
      <c r="B21" s="3"/>
      <c r="C21" s="3"/>
      <c r="D21" s="3"/>
      <c r="E21" s="3"/>
      <c r="F21" s="3"/>
    </row>
    <row r="22" ht="30" customHeight="1" spans="1:6">
      <c r="A22" s="11" t="s">
        <v>50</v>
      </c>
      <c r="B22" s="12" t="s">
        <v>51</v>
      </c>
      <c r="C22" s="12"/>
      <c r="D22" s="12"/>
      <c r="E22" s="12"/>
      <c r="F22" s="27" t="s">
        <v>52</v>
      </c>
    </row>
    <row r="23" ht="30" customHeight="1" spans="1:6">
      <c r="A23" s="28" t="s">
        <v>53</v>
      </c>
      <c r="B23" s="29" t="s">
        <v>54</v>
      </c>
      <c r="C23" s="29"/>
      <c r="D23" s="29"/>
      <c r="E23" s="29"/>
      <c r="F23" s="30" t="s">
        <v>55</v>
      </c>
    </row>
    <row r="24" ht="30" customHeight="1" spans="1:6">
      <c r="A24" s="11" t="s">
        <v>56</v>
      </c>
      <c r="B24" s="12" t="s">
        <v>57</v>
      </c>
      <c r="C24" s="12"/>
      <c r="D24" s="12"/>
      <c r="E24" s="12"/>
      <c r="F24" s="27" t="s">
        <v>58</v>
      </c>
    </row>
  </sheetData>
  <mergeCells count="7">
    <mergeCell ref="A1:F1"/>
    <mergeCell ref="A2:F2"/>
    <mergeCell ref="A4:F4"/>
    <mergeCell ref="A21:F21"/>
    <mergeCell ref="B22:E22"/>
    <mergeCell ref="B23:E23"/>
    <mergeCell ref="B24:E2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selection activeCell="A1" sqref="A1:E1"/>
    </sheetView>
  </sheetViews>
  <sheetFormatPr defaultColWidth="8.71296296296296" defaultRowHeight="14.4" outlineLevelCol="4"/>
  <cols>
    <col min="1" max="1" width="5" customWidth="1"/>
    <col min="2" max="2" width="35" customWidth="1"/>
    <col min="3" max="3" width="40" customWidth="1"/>
    <col min="4" max="4" width="30" customWidth="1"/>
    <col min="5" max="5" width="15" customWidth="1"/>
  </cols>
  <sheetData>
    <row r="1" ht="30" customHeight="1" spans="1:5">
      <c r="A1" s="1" t="s">
        <v>59</v>
      </c>
      <c r="B1" s="1"/>
      <c r="C1" s="1"/>
      <c r="D1" s="1"/>
      <c r="E1" s="1"/>
    </row>
    <row r="2" ht="18" customHeight="1" spans="1:5">
      <c r="A2" s="2" t="s">
        <v>60</v>
      </c>
      <c r="B2" s="2"/>
      <c r="C2" s="2"/>
      <c r="D2" s="2"/>
      <c r="E2" s="2"/>
    </row>
    <row r="3" ht="15.15"/>
    <row r="4" ht="21.75" customHeight="1" spans="1:5">
      <c r="A4" s="3" t="s">
        <v>61</v>
      </c>
      <c r="B4" s="3"/>
      <c r="C4" s="3"/>
      <c r="D4" s="3"/>
      <c r="E4" s="3"/>
    </row>
    <row r="5" ht="18" customHeight="1" spans="1:5">
      <c r="A5" s="4" t="s">
        <v>32</v>
      </c>
      <c r="B5" s="4" t="s">
        <v>62</v>
      </c>
      <c r="C5" s="4" t="s">
        <v>63</v>
      </c>
      <c r="D5" s="4" t="s">
        <v>64</v>
      </c>
      <c r="E5" s="4" t="s">
        <v>8</v>
      </c>
    </row>
    <row r="6" ht="15.75" customHeight="1" spans="1:5">
      <c r="A6" s="5">
        <v>1</v>
      </c>
      <c r="B6" s="6" t="s">
        <v>65</v>
      </c>
      <c r="C6" s="6" t="s">
        <v>66</v>
      </c>
      <c r="D6" s="6" t="s">
        <v>67</v>
      </c>
      <c r="E6" s="5" t="s">
        <v>11</v>
      </c>
    </row>
    <row r="7" ht="15.75" customHeight="1" spans="1:5">
      <c r="A7" s="7">
        <v>2</v>
      </c>
      <c r="B7" s="8" t="s">
        <v>68</v>
      </c>
      <c r="C7" s="8" t="s">
        <v>69</v>
      </c>
      <c r="D7" s="8" t="s">
        <v>67</v>
      </c>
      <c r="E7" s="7" t="s">
        <v>11</v>
      </c>
    </row>
    <row r="8" ht="15.75" customHeight="1" spans="1:5">
      <c r="A8" s="5">
        <v>3</v>
      </c>
      <c r="B8" s="6" t="s">
        <v>70</v>
      </c>
      <c r="C8" s="6" t="s">
        <v>71</v>
      </c>
      <c r="D8" s="6" t="s">
        <v>72</v>
      </c>
      <c r="E8" s="5" t="s">
        <v>11</v>
      </c>
    </row>
    <row r="9" ht="15.75" customHeight="1" spans="1:5">
      <c r="A9" s="7">
        <v>4</v>
      </c>
      <c r="B9" s="8" t="s">
        <v>73</v>
      </c>
      <c r="C9" s="8" t="s">
        <v>74</v>
      </c>
      <c r="D9" s="8" t="s">
        <v>75</v>
      </c>
      <c r="E9" s="7" t="s">
        <v>11</v>
      </c>
    </row>
    <row r="10" ht="15.75" customHeight="1" spans="1:5">
      <c r="A10" s="5">
        <v>5</v>
      </c>
      <c r="B10" s="6" t="s">
        <v>76</v>
      </c>
      <c r="C10" s="6" t="s">
        <v>77</v>
      </c>
      <c r="D10" s="6" t="s">
        <v>75</v>
      </c>
      <c r="E10" s="5" t="s">
        <v>11</v>
      </c>
    </row>
    <row r="11" ht="15.75" customHeight="1" spans="1:5">
      <c r="A11" s="7">
        <v>6</v>
      </c>
      <c r="B11" s="8" t="s">
        <v>78</v>
      </c>
      <c r="C11" s="8" t="s">
        <v>79</v>
      </c>
      <c r="D11" s="8" t="s">
        <v>75</v>
      </c>
      <c r="E11" s="7" t="s">
        <v>11</v>
      </c>
    </row>
    <row r="13" ht="15.15"/>
    <row r="14" ht="21.75" customHeight="1" spans="1:5">
      <c r="A14" s="3" t="s">
        <v>80</v>
      </c>
      <c r="B14" s="3"/>
      <c r="C14" s="3"/>
      <c r="D14" s="3"/>
      <c r="E14" s="3"/>
    </row>
    <row r="15" spans="1:5">
      <c r="A15" s="4" t="s">
        <v>32</v>
      </c>
      <c r="B15" s="4" t="s">
        <v>3</v>
      </c>
      <c r="C15" s="4" t="s">
        <v>81</v>
      </c>
      <c r="D15" s="4" t="s">
        <v>82</v>
      </c>
      <c r="E15" s="4" t="s">
        <v>8</v>
      </c>
    </row>
    <row r="16" ht="15.75" customHeight="1" spans="1:5">
      <c r="A16" s="5">
        <v>1</v>
      </c>
      <c r="B16" s="6" t="s">
        <v>83</v>
      </c>
      <c r="C16" s="6" t="s">
        <v>84</v>
      </c>
      <c r="D16" s="6" t="s">
        <v>85</v>
      </c>
      <c r="E16" s="5" t="s">
        <v>86</v>
      </c>
    </row>
    <row r="17" ht="15.75" customHeight="1" spans="1:5">
      <c r="A17" s="7">
        <v>2</v>
      </c>
      <c r="B17" s="8" t="s">
        <v>87</v>
      </c>
      <c r="C17" s="8" t="s">
        <v>88</v>
      </c>
      <c r="D17" s="8" t="s">
        <v>89</v>
      </c>
      <c r="E17" s="7" t="s">
        <v>86</v>
      </c>
    </row>
    <row r="18" ht="15.75" customHeight="1" spans="1:5">
      <c r="A18" s="5">
        <v>3</v>
      </c>
      <c r="B18" s="6" t="s">
        <v>90</v>
      </c>
      <c r="C18" s="6" t="s">
        <v>91</v>
      </c>
      <c r="D18" s="6" t="s">
        <v>92</v>
      </c>
      <c r="E18" s="5" t="s">
        <v>86</v>
      </c>
    </row>
    <row r="19" ht="15.75" customHeight="1" spans="1:5">
      <c r="A19" s="7">
        <v>4</v>
      </c>
      <c r="B19" s="8" t="s">
        <v>93</v>
      </c>
      <c r="C19" s="8" t="s">
        <v>94</v>
      </c>
      <c r="D19" s="8" t="s">
        <v>89</v>
      </c>
      <c r="E19" s="7" t="s">
        <v>86</v>
      </c>
    </row>
    <row r="20" ht="15.75" customHeight="1" spans="1:5">
      <c r="A20" s="5">
        <v>5</v>
      </c>
      <c r="B20" s="6" t="s">
        <v>95</v>
      </c>
      <c r="C20" s="6" t="s">
        <v>96</v>
      </c>
      <c r="D20" s="6" t="s">
        <v>67</v>
      </c>
      <c r="E20" s="5" t="s">
        <v>11</v>
      </c>
    </row>
    <row r="21" ht="15.75" customHeight="1" spans="1:5">
      <c r="A21" s="7">
        <v>6</v>
      </c>
      <c r="B21" s="8" t="s">
        <v>97</v>
      </c>
      <c r="C21" s="8" t="s">
        <v>98</v>
      </c>
      <c r="D21" s="8" t="s">
        <v>85</v>
      </c>
      <c r="E21" s="7" t="s">
        <v>86</v>
      </c>
    </row>
    <row r="22" ht="15.75" customHeight="1" spans="1:5">
      <c r="A22" s="5">
        <v>7</v>
      </c>
      <c r="B22" s="6" t="s">
        <v>99</v>
      </c>
      <c r="C22" s="6" t="s">
        <v>100</v>
      </c>
      <c r="D22" s="6" t="s">
        <v>85</v>
      </c>
      <c r="E22" s="5" t="s">
        <v>86</v>
      </c>
    </row>
    <row r="23" ht="15.75" customHeight="1" spans="1:5">
      <c r="A23" s="7">
        <v>8</v>
      </c>
      <c r="B23" s="8" t="s">
        <v>101</v>
      </c>
      <c r="C23" s="8" t="s">
        <v>102</v>
      </c>
      <c r="D23" s="8" t="s">
        <v>89</v>
      </c>
      <c r="E23" s="7" t="s">
        <v>86</v>
      </c>
    </row>
    <row r="25" ht="15.15"/>
    <row r="26" ht="21.75" customHeight="1" spans="1:5">
      <c r="A26" s="9" t="s">
        <v>103</v>
      </c>
      <c r="B26" s="9"/>
      <c r="C26" s="9"/>
      <c r="D26" s="9"/>
      <c r="E26" s="9"/>
    </row>
    <row r="27" ht="15.75" customHeight="1" spans="1:5">
      <c r="A27" s="10"/>
      <c r="B27" s="11" t="s">
        <v>104</v>
      </c>
      <c r="C27" s="12" t="s">
        <v>105</v>
      </c>
      <c r="D27" s="12"/>
      <c r="E27" s="12"/>
    </row>
    <row r="28" ht="15.75" customHeight="1" spans="1:5">
      <c r="A28" s="13"/>
      <c r="B28" s="14" t="s">
        <v>106</v>
      </c>
      <c r="C28" s="15" t="s">
        <v>107</v>
      </c>
      <c r="D28" s="15"/>
      <c r="E28" s="15"/>
    </row>
    <row r="29" ht="15.75" customHeight="1" spans="1:5">
      <c r="A29" s="10"/>
      <c r="B29" s="11" t="s">
        <v>108</v>
      </c>
      <c r="C29" s="12" t="s">
        <v>109</v>
      </c>
      <c r="D29" s="12"/>
      <c r="E29" s="12"/>
    </row>
    <row r="30" ht="15.75" customHeight="1" spans="1:5">
      <c r="A30" s="13"/>
      <c r="B30" s="14" t="s">
        <v>110</v>
      </c>
      <c r="C30" s="15" t="s">
        <v>111</v>
      </c>
      <c r="D30" s="15"/>
      <c r="E30" s="15"/>
    </row>
    <row r="31" ht="15.75" customHeight="1" spans="1:5">
      <c r="A31" s="10"/>
      <c r="B31" s="11" t="s">
        <v>112</v>
      </c>
      <c r="C31" s="12" t="s">
        <v>113</v>
      </c>
      <c r="D31" s="12"/>
      <c r="E31" s="12"/>
    </row>
    <row r="32" ht="15.75" customHeight="1" spans="1:5">
      <c r="A32" s="13"/>
      <c r="B32" s="14" t="s">
        <v>114</v>
      </c>
      <c r="C32" s="15" t="s">
        <v>115</v>
      </c>
      <c r="D32" s="15"/>
      <c r="E32" s="15"/>
    </row>
  </sheetData>
  <mergeCells count="11">
    <mergeCell ref="A1:E1"/>
    <mergeCell ref="A2:E2"/>
    <mergeCell ref="A4:E4"/>
    <mergeCell ref="A14:E14"/>
    <mergeCell ref="A26:E26"/>
    <mergeCell ref="C27:E27"/>
    <mergeCell ref="C28:E28"/>
    <mergeCell ref="C29:E29"/>
    <mergeCell ref="C30:E30"/>
    <mergeCell ref="C31:E31"/>
    <mergeCell ref="C32:E3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Componentes y Costos</vt:lpstr>
      <vt:lpstr>Comparativo LANCEA vs Ascensor</vt:lpstr>
      <vt:lpstr>Referencias y GitHub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Brayan Barragan</cp:lastModifiedBy>
  <cp:revision>0</cp:revision>
  <dcterms:created xsi:type="dcterms:W3CDTF">2026-05-03T22:30:00Z</dcterms:created>
  <dcterms:modified xsi:type="dcterms:W3CDTF">2026-05-20T14:13:41Z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89439BF5E7F44CA5AC8111D17EA155FC_12</vt:lpwstr>
  </property>
  <property fmtid="{D5CDD505-2E9C-101B-9397-08002B2CF9AE}" pid="3" name="KSOProductBuildVer">
    <vt:lpwstr>3082-12.2.0.23202</vt:lpwstr>
  </property>
</Properties>
</file>